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Forecast" sheetId="1" state="visible" r:id="rId3"/>
    <sheet name="Sales Summary" sheetId="2" state="visible" r:id="rId4"/>
    <sheet name="Quarterly Forecast" sheetId="3" state="visible" r:id="rId5"/>
    <sheet name="KPI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<sst xmlns="http://schemas.openxmlformats.org/spreadsheetml/2006/main" count="205" uniqueCount="59">
  <si>
    <t xml:space="preserve">US State</t>
  </si>
  <si>
    <t xml:space="preserve">Size</t>
  </si>
  <si>
    <t xml:space="preserve">Colourway</t>
  </si>
  <si>
    <t xml:space="preserve">Units Forecast</t>
  </si>
  <si>
    <t xml:space="preserve">Unit Cost ($)</t>
  </si>
  <si>
    <t xml:space="preserve">Unit Price ($)</t>
  </si>
  <si>
    <t xml:space="preserve">Stock on Hand</t>
  </si>
  <si>
    <t xml:space="preserve">California</t>
  </si>
  <si>
    <t xml:space="preserve">S</t>
  </si>
  <si>
    <t xml:space="preserve">Navy</t>
  </si>
  <si>
    <t xml:space="preserve">Charcoal</t>
  </si>
  <si>
    <t xml:space="preserve">M</t>
  </si>
  <si>
    <t xml:space="preserve">L</t>
  </si>
  <si>
    <t xml:space="preserve">Texas</t>
  </si>
  <si>
    <t xml:space="preserve">New York</t>
  </si>
  <si>
    <t xml:space="preserve">Florida</t>
  </si>
  <si>
    <t xml:space="preserve">Illinois</t>
  </si>
  <si>
    <t xml:space="preserve">Georgia</t>
  </si>
  <si>
    <t xml:space="preserve">North Carolina</t>
  </si>
  <si>
    <t xml:space="preserve">Washington</t>
  </si>
  <si>
    <t xml:space="preserve">Region</t>
  </si>
  <si>
    <t xml:space="preserve">Units Sold (This Month)</t>
  </si>
  <si>
    <t xml:space="preserve">Stock Cover (Weeks)</t>
  </si>
  <si>
    <t xml:space="preserve">Status</t>
  </si>
  <si>
    <t xml:space="preserve">West</t>
  </si>
  <si>
    <t xml:space="preserve">South</t>
  </si>
  <si>
    <t xml:space="preserve">Northeast</t>
  </si>
  <si>
    <t xml:space="preserve">Midwest</t>
  </si>
  <si>
    <t xml:space="preserve">Pashun Sports — US Sales and Stock Forecast (2026) — Quarterly View</t>
  </si>
  <si>
    <t xml:space="preserve">Same annual total as the US Forecast tab (22,000 units), phased by quarter rather than by state.</t>
  </si>
  <si>
    <t xml:space="preserve">Assumptions</t>
  </si>
  <si>
    <t xml:space="preserve">Wholesale price per unit ($)</t>
  </si>
  <si>
    <t xml:space="preserve">Source: invoice PSP-INV-1042 (first US wholesale order, Feb 2026)</t>
  </si>
  <si>
    <t xml:space="preserve">Recommended retail price ($)</t>
  </si>
  <si>
    <t xml:space="preserve">Average fabric + trim cost per unit ($)</t>
  </si>
  <si>
    <t xml:space="preserve">Source: Ridgeline Apparel Supply (fabric) + Summit Trim &amp; Labels Co. (trim), excl. freight</t>
  </si>
  <si>
    <t xml:space="preserve">Reorder buffer stock (% of forecast units)</t>
  </si>
  <si>
    <t xml:space="preserve">Quarter</t>
  </si>
  <si>
    <t xml:space="preserve">Forecast Units</t>
  </si>
  <si>
    <t xml:space="preserve">Forecast Revenue ($)</t>
  </si>
  <si>
    <t xml:space="preserve">Reorder Buffer (Units)</t>
  </si>
  <si>
    <t xml:space="preserve">Stock to Order (Units)</t>
  </si>
  <si>
    <t xml:space="preserve">Q1 2026</t>
  </si>
  <si>
    <t xml:space="preserve">Q2 2026</t>
  </si>
  <si>
    <t xml:space="preserve">Q3 2026</t>
  </si>
  <si>
    <t xml:space="preserve">Q4 2026</t>
  </si>
  <si>
    <t xml:space="preserve">Total 2026</t>
  </si>
  <si>
    <t xml:space="preserve">Pashun Sports — KPI Summary (2026)</t>
  </si>
  <si>
    <t xml:space="preserve">Rolled up from the US Forecast and Sales Summary tabs.</t>
  </si>
  <si>
    <t xml:space="preserve">Metric</t>
  </si>
  <si>
    <t xml:space="preserve">Value</t>
  </si>
  <si>
    <t xml:space="preserve">Total forecast units (2026)</t>
  </si>
  <si>
    <t xml:space="preserve">Total forecast revenue ($)</t>
  </si>
  <si>
    <t xml:space="preserve">Average wholesale price ($)</t>
  </si>
  <si>
    <t xml:space="preserve">States at risk on stock cover (&lt;4 weeks)</t>
  </si>
  <si>
    <t xml:space="preserve">Total units sold this month (all states)</t>
  </si>
  <si>
    <t xml:space="preserve">First confirmed order (Q1, units)</t>
  </si>
  <si>
    <t xml:space="preserve">First confirmed order value ($)</t>
  </si>
  <si>
    <t xml:space="preserve">Note: US Forecast tab is annual, phased by US state/size/colourway; Quarterly Forecast tab shows the same annual total phased by quarter. Both tie to 22,000 units for 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</si>
</sst>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\$#,##0"/>
    <numFmt numFmtId="168" formatCode="#,##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4D7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4D7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D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Summary" displayName="SalesSummary" ref="A1:E9" headerRowCount="1" totalsRowCount="0" totalsRowShown="0">
  <autoFilter ref="A1:E9"/>
  <tableColumns count="5">
    <tableColumn id="1" name="US State"/>
    <tableColumn id="2" name="Region"/>
    <tableColumn id="3" name="Units Sold (This Month)"/>
    <tableColumn id="4" name="Stock Cover (Weeks)"/>
    <tableColumn id="5" name="Status"/>
  </tableColumns>
</table>
</file>

<file path=xl/tables/table2.xml><?xml version="1.0" encoding="utf-8"?>
<table xmlns="http://schemas.openxmlformats.org/spreadsheetml/2006/main" id="2" name="USForecast" displayName="USForecast" ref="A1:G49" headerRowCount="1" totalsRowCount="0" totalsRowShown="0">
  <autoFilter ref="A1:G49"/>
  <tableColumns count="7">
    <tableColumn id="1" name="US State"/>
    <tableColumn id="2" name="Size"/>
    <tableColumn id="3" name="Colourway"/>
    <tableColumn id="4" name="Units Forecast"/>
    <tableColumn id="5" name="Unit Cost ($)"/>
    <tableColumn id="6" name="Unit Price ($)"/>
    <tableColumn id="7" name="Stock on H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525</v>
      </c>
      <c r="E2" s="4" t="n">
        <v>6.24</v>
      </c>
      <c r="F2" s="4" t="n">
        <v>9</v>
      </c>
      <c r="G2" s="3" t="n">
        <v>52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10</v>
      </c>
      <c r="D3" s="3" t="n">
        <v>525</v>
      </c>
      <c r="E3" s="4" t="n">
        <v>6.24</v>
      </c>
      <c r="F3" s="4" t="n">
        <v>9</v>
      </c>
      <c r="G3" s="3" t="n">
        <v>52</v>
      </c>
    </row>
    <row r="4" customFormat="false" ht="15" hidden="false" customHeight="false" outlineLevel="0" collapsed="false">
      <c r="A4" s="2" t="s">
        <v>7</v>
      </c>
      <c r="B4" s="2" t="s">
        <v>11</v>
      </c>
      <c r="C4" s="2" t="s">
        <v>9</v>
      </c>
      <c r="D4" s="3" t="n">
        <v>945</v>
      </c>
      <c r="E4" s="4" t="n">
        <v>6.24</v>
      </c>
      <c r="F4" s="4" t="n">
        <v>9</v>
      </c>
      <c r="G4" s="3" t="n">
        <v>94</v>
      </c>
    </row>
    <row r="5" customFormat="false" ht="15" hidden="false" customHeight="false" outlineLevel="0" collapsed="false">
      <c r="A5" s="2" t="s">
        <v>7</v>
      </c>
      <c r="B5" s="2" t="s">
        <v>11</v>
      </c>
      <c r="C5" s="2" t="s">
        <v>10</v>
      </c>
      <c r="D5" s="3" t="n">
        <v>945</v>
      </c>
      <c r="E5" s="4" t="n">
        <v>6.24</v>
      </c>
      <c r="F5" s="4" t="n">
        <v>9</v>
      </c>
      <c r="G5" s="3" t="n">
        <v>94</v>
      </c>
    </row>
    <row r="6" customFormat="false" ht="15" hidden="false" customHeight="false" outlineLevel="0" collapsed="false">
      <c r="A6" s="2" t="s">
        <v>7</v>
      </c>
      <c r="B6" s="2" t="s">
        <v>12</v>
      </c>
      <c r="C6" s="2" t="s">
        <v>9</v>
      </c>
      <c r="D6" s="3" t="n">
        <v>630</v>
      </c>
      <c r="E6" s="4" t="n">
        <v>6.24</v>
      </c>
      <c r="F6" s="4" t="n">
        <v>9</v>
      </c>
      <c r="G6" s="3" t="n">
        <v>63</v>
      </c>
    </row>
    <row r="7" customFormat="false" ht="15" hidden="false" customHeight="false" outlineLevel="0" collapsed="false">
      <c r="A7" s="2" t="s">
        <v>7</v>
      </c>
      <c r="B7" s="2" t="s">
        <v>12</v>
      </c>
      <c r="C7" s="2" t="s">
        <v>10</v>
      </c>
      <c r="D7" s="3" t="n">
        <v>630</v>
      </c>
      <c r="E7" s="4" t="n">
        <v>6.24</v>
      </c>
      <c r="F7" s="4" t="n">
        <v>9</v>
      </c>
      <c r="G7" s="3" t="n">
        <v>63</v>
      </c>
    </row>
    <row r="8" customFormat="false" ht="15" hidden="false" customHeight="false" outlineLevel="0" collapsed="false">
      <c r="A8" s="2" t="s">
        <v>13</v>
      </c>
      <c r="B8" s="2" t="s">
        <v>8</v>
      </c>
      <c r="C8" s="2" t="s">
        <v>9</v>
      </c>
      <c r="D8" s="3" t="n">
        <v>450</v>
      </c>
      <c r="E8" s="4" t="n">
        <v>3.94</v>
      </c>
      <c r="F8" s="4" t="n">
        <v>9</v>
      </c>
      <c r="G8" s="3" t="n">
        <v>99</v>
      </c>
    </row>
    <row r="9" customFormat="false" ht="15" hidden="false" customHeight="false" outlineLevel="0" collapsed="false">
      <c r="A9" s="2" t="s">
        <v>13</v>
      </c>
      <c r="B9" s="2" t="s">
        <v>8</v>
      </c>
      <c r="C9" s="2" t="s">
        <v>10</v>
      </c>
      <c r="D9" s="3" t="n">
        <v>450</v>
      </c>
      <c r="E9" s="4" t="n">
        <v>3.94</v>
      </c>
      <c r="F9" s="4" t="n">
        <v>9</v>
      </c>
      <c r="G9" s="3" t="n">
        <v>99</v>
      </c>
    </row>
    <row r="10" customFormat="false" ht="15" hidden="false" customHeight="false" outlineLevel="0" collapsed="false">
      <c r="A10" s="2" t="s">
        <v>13</v>
      </c>
      <c r="B10" s="2" t="s">
        <v>11</v>
      </c>
      <c r="C10" s="2" t="s">
        <v>9</v>
      </c>
      <c r="D10" s="3" t="n">
        <v>810</v>
      </c>
      <c r="E10" s="4" t="n">
        <v>3.94</v>
      </c>
      <c r="F10" s="4" t="n">
        <v>9</v>
      </c>
      <c r="G10" s="3" t="n">
        <v>178</v>
      </c>
    </row>
    <row r="11" customFormat="false" ht="15" hidden="false" customHeight="false" outlineLevel="0" collapsed="false">
      <c r="A11" s="2" t="s">
        <v>13</v>
      </c>
      <c r="B11" s="2" t="s">
        <v>11</v>
      </c>
      <c r="C11" s="2" t="s">
        <v>10</v>
      </c>
      <c r="D11" s="3" t="n">
        <v>810</v>
      </c>
      <c r="E11" s="4" t="n">
        <v>3.94</v>
      </c>
      <c r="F11" s="4" t="n">
        <v>9</v>
      </c>
      <c r="G11" s="3" t="n">
        <v>178</v>
      </c>
    </row>
    <row r="12" customFormat="false" ht="15" hidden="false" customHeight="false" outlineLevel="0" collapsed="false">
      <c r="A12" s="2" t="s">
        <v>13</v>
      </c>
      <c r="B12" s="2" t="s">
        <v>12</v>
      </c>
      <c r="C12" s="2" t="s">
        <v>9</v>
      </c>
      <c r="D12" s="3" t="n">
        <v>540</v>
      </c>
      <c r="E12" s="4" t="n">
        <v>3.94</v>
      </c>
      <c r="F12" s="4" t="n">
        <v>9</v>
      </c>
      <c r="G12" s="3" t="n">
        <v>119</v>
      </c>
    </row>
    <row r="13" customFormat="false" ht="15" hidden="false" customHeight="false" outlineLevel="0" collapsed="false">
      <c r="A13" s="2" t="s">
        <v>13</v>
      </c>
      <c r="B13" s="2" t="s">
        <v>12</v>
      </c>
      <c r="C13" s="2" t="s">
        <v>10</v>
      </c>
      <c r="D13" s="3" t="n">
        <v>540</v>
      </c>
      <c r="E13" s="4" t="n">
        <v>3.94</v>
      </c>
      <c r="F13" s="4" t="n">
        <v>9</v>
      </c>
      <c r="G13" s="3" t="n">
        <v>119</v>
      </c>
    </row>
    <row r="14" customFormat="false" ht="15" hidden="false" customHeight="false" outlineLevel="0" collapsed="false">
      <c r="A14" s="2" t="s">
        <v>14</v>
      </c>
      <c r="B14" s="2" t="s">
        <v>8</v>
      </c>
      <c r="C14" s="2" t="s">
        <v>9</v>
      </c>
      <c r="D14" s="3" t="n">
        <v>375</v>
      </c>
      <c r="E14" s="4" t="n">
        <v>5.94</v>
      </c>
      <c r="F14" s="4" t="n">
        <v>9</v>
      </c>
      <c r="G14" s="3" t="n">
        <v>38</v>
      </c>
    </row>
    <row r="15" customFormat="false" ht="15" hidden="false" customHeight="false" outlineLevel="0" collapsed="false">
      <c r="A15" s="2" t="s">
        <v>14</v>
      </c>
      <c r="B15" s="2" t="s">
        <v>8</v>
      </c>
      <c r="C15" s="2" t="s">
        <v>10</v>
      </c>
      <c r="D15" s="3" t="n">
        <v>375</v>
      </c>
      <c r="E15" s="4" t="n">
        <v>5.94</v>
      </c>
      <c r="F15" s="4" t="n">
        <v>9</v>
      </c>
      <c r="G15" s="3" t="n">
        <v>38</v>
      </c>
    </row>
    <row r="16" customFormat="false" ht="15" hidden="false" customHeight="false" outlineLevel="0" collapsed="false">
      <c r="A16" s="2" t="s">
        <v>14</v>
      </c>
      <c r="B16" s="2" t="s">
        <v>11</v>
      </c>
      <c r="C16" s="2" t="s">
        <v>9</v>
      </c>
      <c r="D16" s="3" t="n">
        <v>675</v>
      </c>
      <c r="E16" s="4" t="n">
        <v>5.94</v>
      </c>
      <c r="F16" s="4" t="n">
        <v>9</v>
      </c>
      <c r="G16" s="3" t="n">
        <v>68</v>
      </c>
    </row>
    <row r="17" customFormat="false" ht="15" hidden="false" customHeight="false" outlineLevel="0" collapsed="false">
      <c r="A17" s="2" t="s">
        <v>14</v>
      </c>
      <c r="B17" s="2" t="s">
        <v>11</v>
      </c>
      <c r="C17" s="2" t="s">
        <v>10</v>
      </c>
      <c r="D17" s="3" t="n">
        <v>675</v>
      </c>
      <c r="E17" s="4" t="n">
        <v>5.94</v>
      </c>
      <c r="F17" s="4" t="n">
        <v>9</v>
      </c>
      <c r="G17" s="3" t="n">
        <v>68</v>
      </c>
    </row>
    <row r="18" customFormat="false" ht="15" hidden="false" customHeight="false" outlineLevel="0" collapsed="false">
      <c r="A18" s="2" t="s">
        <v>14</v>
      </c>
      <c r="B18" s="2" t="s">
        <v>12</v>
      </c>
      <c r="C18" s="2" t="s">
        <v>9</v>
      </c>
      <c r="D18" s="3" t="n">
        <v>450</v>
      </c>
      <c r="E18" s="4" t="n">
        <v>5.94</v>
      </c>
      <c r="F18" s="4" t="n">
        <v>9</v>
      </c>
      <c r="G18" s="3" t="n">
        <v>45</v>
      </c>
    </row>
    <row r="19" customFormat="false" ht="15" hidden="false" customHeight="false" outlineLevel="0" collapsed="false">
      <c r="A19" s="2" t="s">
        <v>14</v>
      </c>
      <c r="B19" s="2" t="s">
        <v>12</v>
      </c>
      <c r="C19" s="2" t="s">
        <v>10</v>
      </c>
      <c r="D19" s="3" t="n">
        <v>450</v>
      </c>
      <c r="E19" s="4" t="n">
        <v>5.94</v>
      </c>
      <c r="F19" s="4" t="n">
        <v>9</v>
      </c>
      <c r="G19" s="3" t="n">
        <v>45</v>
      </c>
    </row>
    <row r="20" customFormat="false" ht="15" hidden="false" customHeight="false" outlineLevel="0" collapsed="false">
      <c r="A20" s="2" t="s">
        <v>15</v>
      </c>
      <c r="B20" s="2" t="s">
        <v>8</v>
      </c>
      <c r="C20" s="2" t="s">
        <v>9</v>
      </c>
      <c r="D20" s="3" t="n">
        <v>350</v>
      </c>
      <c r="E20" s="4" t="n">
        <v>4.14</v>
      </c>
      <c r="F20" s="4" t="n">
        <v>9</v>
      </c>
      <c r="G20" s="3" t="n">
        <v>77</v>
      </c>
    </row>
    <row r="21" customFormat="false" ht="15" hidden="false" customHeight="false" outlineLevel="0" collapsed="false">
      <c r="A21" s="2" t="s">
        <v>15</v>
      </c>
      <c r="B21" s="2" t="s">
        <v>8</v>
      </c>
      <c r="C21" s="2" t="s">
        <v>10</v>
      </c>
      <c r="D21" s="3" t="n">
        <v>350</v>
      </c>
      <c r="E21" s="4" t="n">
        <v>4.14</v>
      </c>
      <c r="F21" s="4" t="n">
        <v>9</v>
      </c>
      <c r="G21" s="3" t="n">
        <v>77</v>
      </c>
    </row>
    <row r="22" customFormat="false" ht="15" hidden="false" customHeight="false" outlineLevel="0" collapsed="false">
      <c r="A22" s="2" t="s">
        <v>15</v>
      </c>
      <c r="B22" s="2" t="s">
        <v>11</v>
      </c>
      <c r="C22" s="2" t="s">
        <v>9</v>
      </c>
      <c r="D22" s="3" t="n">
        <v>630</v>
      </c>
      <c r="E22" s="4" t="n">
        <v>4.14</v>
      </c>
      <c r="F22" s="4" t="n">
        <v>9</v>
      </c>
      <c r="G22" s="3" t="n">
        <v>139</v>
      </c>
    </row>
    <row r="23" customFormat="false" ht="15" hidden="false" customHeight="false" outlineLevel="0" collapsed="false">
      <c r="A23" s="2" t="s">
        <v>15</v>
      </c>
      <c r="B23" s="2" t="s">
        <v>11</v>
      </c>
      <c r="C23" s="2" t="s">
        <v>10</v>
      </c>
      <c r="D23" s="3" t="n">
        <v>630</v>
      </c>
      <c r="E23" s="4" t="n">
        <v>4.14</v>
      </c>
      <c r="F23" s="4" t="n">
        <v>9</v>
      </c>
      <c r="G23" s="3" t="n">
        <v>139</v>
      </c>
    </row>
    <row r="24" customFormat="false" ht="15" hidden="false" customHeight="false" outlineLevel="0" collapsed="false">
      <c r="A24" s="2" t="s">
        <v>15</v>
      </c>
      <c r="B24" s="2" t="s">
        <v>12</v>
      </c>
      <c r="C24" s="2" t="s">
        <v>9</v>
      </c>
      <c r="D24" s="3" t="n">
        <v>420</v>
      </c>
      <c r="E24" s="4" t="n">
        <v>4.14</v>
      </c>
      <c r="F24" s="4" t="n">
        <v>9</v>
      </c>
      <c r="G24" s="3" t="n">
        <v>92</v>
      </c>
    </row>
    <row r="25" customFormat="false" ht="15" hidden="false" customHeight="false" outlineLevel="0" collapsed="false">
      <c r="A25" s="2" t="s">
        <v>15</v>
      </c>
      <c r="B25" s="2" t="s">
        <v>12</v>
      </c>
      <c r="C25" s="2" t="s">
        <v>10</v>
      </c>
      <c r="D25" s="3" t="n">
        <v>420</v>
      </c>
      <c r="E25" s="4" t="n">
        <v>4.14</v>
      </c>
      <c r="F25" s="4" t="n">
        <v>9</v>
      </c>
      <c r="G25" s="3" t="n">
        <v>92</v>
      </c>
    </row>
    <row r="26" customFormat="false" ht="15" hidden="false" customHeight="false" outlineLevel="0" collapsed="false">
      <c r="A26" s="2" t="s">
        <v>16</v>
      </c>
      <c r="B26" s="2" t="s">
        <v>8</v>
      </c>
      <c r="C26" s="2" t="s">
        <v>9</v>
      </c>
      <c r="D26" s="3" t="n">
        <v>300</v>
      </c>
      <c r="E26" s="4" t="n">
        <v>4.94</v>
      </c>
      <c r="F26" s="4" t="n">
        <v>9</v>
      </c>
      <c r="G26" s="3" t="n">
        <v>66</v>
      </c>
    </row>
    <row r="27" customFormat="false" ht="15" hidden="false" customHeight="false" outlineLevel="0" collapsed="false">
      <c r="A27" s="2" t="s">
        <v>16</v>
      </c>
      <c r="B27" s="2" t="s">
        <v>8</v>
      </c>
      <c r="C27" s="2" t="s">
        <v>10</v>
      </c>
      <c r="D27" s="3" t="n">
        <v>300</v>
      </c>
      <c r="E27" s="4" t="n">
        <v>4.94</v>
      </c>
      <c r="F27" s="4" t="n">
        <v>9</v>
      </c>
      <c r="G27" s="3" t="n">
        <v>66</v>
      </c>
    </row>
    <row r="28" customFormat="false" ht="15" hidden="false" customHeight="false" outlineLevel="0" collapsed="false">
      <c r="A28" s="2" t="s">
        <v>16</v>
      </c>
      <c r="B28" s="2" t="s">
        <v>11</v>
      </c>
      <c r="C28" s="2" t="s">
        <v>9</v>
      </c>
      <c r="D28" s="3" t="n">
        <v>540</v>
      </c>
      <c r="E28" s="4" t="n">
        <v>4.94</v>
      </c>
      <c r="F28" s="4" t="n">
        <v>9</v>
      </c>
      <c r="G28" s="3" t="n">
        <v>119</v>
      </c>
    </row>
    <row r="29" customFormat="false" ht="15" hidden="false" customHeight="false" outlineLevel="0" collapsed="false">
      <c r="A29" s="2" t="s">
        <v>16</v>
      </c>
      <c r="B29" s="2" t="s">
        <v>11</v>
      </c>
      <c r="C29" s="2" t="s">
        <v>10</v>
      </c>
      <c r="D29" s="3" t="n">
        <v>540</v>
      </c>
      <c r="E29" s="4" t="n">
        <v>4.94</v>
      </c>
      <c r="F29" s="4" t="n">
        <v>9</v>
      </c>
      <c r="G29" s="3" t="n">
        <v>119</v>
      </c>
    </row>
    <row r="30" customFormat="false" ht="15" hidden="false" customHeight="false" outlineLevel="0" collapsed="false">
      <c r="A30" s="2" t="s">
        <v>16</v>
      </c>
      <c r="B30" s="2" t="s">
        <v>12</v>
      </c>
      <c r="C30" s="2" t="s">
        <v>9</v>
      </c>
      <c r="D30" s="3" t="n">
        <v>360</v>
      </c>
      <c r="E30" s="4" t="n">
        <v>4.94</v>
      </c>
      <c r="F30" s="4" t="n">
        <v>9</v>
      </c>
      <c r="G30" s="3" t="n">
        <v>79</v>
      </c>
    </row>
    <row r="31" customFormat="false" ht="15" hidden="false" customHeight="false" outlineLevel="0" collapsed="false">
      <c r="A31" s="2" t="s">
        <v>16</v>
      </c>
      <c r="B31" s="2" t="s">
        <v>12</v>
      </c>
      <c r="C31" s="2" t="s">
        <v>10</v>
      </c>
      <c r="D31" s="3" t="n">
        <v>360</v>
      </c>
      <c r="E31" s="4" t="n">
        <v>4.94</v>
      </c>
      <c r="F31" s="4" t="n">
        <v>9</v>
      </c>
      <c r="G31" s="3" t="n">
        <v>79</v>
      </c>
    </row>
    <row r="32" customFormat="false" ht="15" hidden="false" customHeight="false" outlineLevel="0" collapsed="false">
      <c r="A32" s="2" t="s">
        <v>17</v>
      </c>
      <c r="B32" s="2" t="s">
        <v>8</v>
      </c>
      <c r="C32" s="2" t="s">
        <v>9</v>
      </c>
      <c r="D32" s="3" t="n">
        <v>275</v>
      </c>
      <c r="E32" s="4" t="n">
        <v>3.54</v>
      </c>
      <c r="F32" s="4" t="n">
        <v>9</v>
      </c>
      <c r="G32" s="3" t="n">
        <v>60</v>
      </c>
    </row>
    <row r="33" customFormat="false" ht="15" hidden="false" customHeight="false" outlineLevel="0" collapsed="false">
      <c r="A33" s="2" t="s">
        <v>17</v>
      </c>
      <c r="B33" s="2" t="s">
        <v>8</v>
      </c>
      <c r="C33" s="2" t="s">
        <v>10</v>
      </c>
      <c r="D33" s="3" t="n">
        <v>275</v>
      </c>
      <c r="E33" s="4" t="n">
        <v>3.54</v>
      </c>
      <c r="F33" s="4" t="n">
        <v>9</v>
      </c>
      <c r="G33" s="3" t="n">
        <v>60</v>
      </c>
    </row>
    <row r="34" customFormat="false" ht="15" hidden="false" customHeight="false" outlineLevel="0" collapsed="false">
      <c r="A34" s="2" t="s">
        <v>17</v>
      </c>
      <c r="B34" s="2" t="s">
        <v>11</v>
      </c>
      <c r="C34" s="2" t="s">
        <v>9</v>
      </c>
      <c r="D34" s="3" t="n">
        <v>495</v>
      </c>
      <c r="E34" s="4" t="n">
        <v>3.54</v>
      </c>
      <c r="F34" s="4" t="n">
        <v>9</v>
      </c>
      <c r="G34" s="3" t="n">
        <v>109</v>
      </c>
    </row>
    <row r="35" customFormat="false" ht="15" hidden="false" customHeight="false" outlineLevel="0" collapsed="false">
      <c r="A35" s="2" t="s">
        <v>17</v>
      </c>
      <c r="B35" s="2" t="s">
        <v>11</v>
      </c>
      <c r="C35" s="2" t="s">
        <v>10</v>
      </c>
      <c r="D35" s="3" t="n">
        <v>495</v>
      </c>
      <c r="E35" s="4" t="n">
        <v>3.54</v>
      </c>
      <c r="F35" s="4" t="n">
        <v>9</v>
      </c>
      <c r="G35" s="3" t="n">
        <v>109</v>
      </c>
    </row>
    <row r="36" customFormat="false" ht="15" hidden="false" customHeight="false" outlineLevel="0" collapsed="false">
      <c r="A36" s="2" t="s">
        <v>17</v>
      </c>
      <c r="B36" s="2" t="s">
        <v>12</v>
      </c>
      <c r="C36" s="2" t="s">
        <v>9</v>
      </c>
      <c r="D36" s="3" t="n">
        <v>330</v>
      </c>
      <c r="E36" s="4" t="n">
        <v>3.54</v>
      </c>
      <c r="F36" s="4" t="n">
        <v>9</v>
      </c>
      <c r="G36" s="3" t="n">
        <v>73</v>
      </c>
    </row>
    <row r="37" customFormat="false" ht="15" hidden="false" customHeight="false" outlineLevel="0" collapsed="false">
      <c r="A37" s="2" t="s">
        <v>17</v>
      </c>
      <c r="B37" s="2" t="s">
        <v>12</v>
      </c>
      <c r="C37" s="2" t="s">
        <v>10</v>
      </c>
      <c r="D37" s="3" t="n">
        <v>330</v>
      </c>
      <c r="E37" s="4" t="n">
        <v>3.54</v>
      </c>
      <c r="F37" s="4" t="n">
        <v>9</v>
      </c>
      <c r="G37" s="3" t="n">
        <v>73</v>
      </c>
    </row>
    <row r="38" customFormat="false" ht="15" hidden="false" customHeight="false" outlineLevel="0" collapsed="false">
      <c r="A38" s="2" t="s">
        <v>18</v>
      </c>
      <c r="B38" s="2" t="s">
        <v>8</v>
      </c>
      <c r="C38" s="2" t="s">
        <v>9</v>
      </c>
      <c r="D38" s="3" t="n">
        <v>250</v>
      </c>
      <c r="E38" s="4" t="n">
        <v>3.74</v>
      </c>
      <c r="F38" s="4" t="n">
        <v>9</v>
      </c>
      <c r="G38" s="3" t="n">
        <v>55</v>
      </c>
    </row>
    <row r="39" customFormat="false" ht="15" hidden="false" customHeight="false" outlineLevel="0" collapsed="false">
      <c r="A39" s="2" t="s">
        <v>18</v>
      </c>
      <c r="B39" s="2" t="s">
        <v>8</v>
      </c>
      <c r="C39" s="2" t="s">
        <v>10</v>
      </c>
      <c r="D39" s="3" t="n">
        <v>250</v>
      </c>
      <c r="E39" s="4" t="n">
        <v>3.74</v>
      </c>
      <c r="F39" s="4" t="n">
        <v>9</v>
      </c>
      <c r="G39" s="3" t="n">
        <v>55</v>
      </c>
    </row>
    <row r="40" customFormat="false" ht="15" hidden="false" customHeight="false" outlineLevel="0" collapsed="false">
      <c r="A40" s="2" t="s">
        <v>18</v>
      </c>
      <c r="B40" s="2" t="s">
        <v>11</v>
      </c>
      <c r="C40" s="2" t="s">
        <v>9</v>
      </c>
      <c r="D40" s="3" t="n">
        <v>450</v>
      </c>
      <c r="E40" s="4" t="n">
        <v>3.74</v>
      </c>
      <c r="F40" s="4" t="n">
        <v>9</v>
      </c>
      <c r="G40" s="3" t="n">
        <v>99</v>
      </c>
    </row>
    <row r="41" customFormat="false" ht="15" hidden="false" customHeight="false" outlineLevel="0" collapsed="false">
      <c r="A41" s="2" t="s">
        <v>18</v>
      </c>
      <c r="B41" s="2" t="s">
        <v>11</v>
      </c>
      <c r="C41" s="2" t="s">
        <v>10</v>
      </c>
      <c r="D41" s="3" t="n">
        <v>450</v>
      </c>
      <c r="E41" s="4" t="n">
        <v>3.74</v>
      </c>
      <c r="F41" s="4" t="n">
        <v>9</v>
      </c>
      <c r="G41" s="3" t="n">
        <v>99</v>
      </c>
    </row>
    <row r="42" customFormat="false" ht="15" hidden="false" customHeight="false" outlineLevel="0" collapsed="false">
      <c r="A42" s="2" t="s">
        <v>18</v>
      </c>
      <c r="B42" s="2" t="s">
        <v>12</v>
      </c>
      <c r="C42" s="2" t="s">
        <v>9</v>
      </c>
      <c r="D42" s="3" t="n">
        <v>300</v>
      </c>
      <c r="E42" s="4" t="n">
        <v>3.74</v>
      </c>
      <c r="F42" s="4" t="n">
        <v>9</v>
      </c>
      <c r="G42" s="3" t="n">
        <v>66</v>
      </c>
    </row>
    <row r="43" customFormat="false" ht="15" hidden="false" customHeight="false" outlineLevel="0" collapsed="false">
      <c r="A43" s="2" t="s">
        <v>18</v>
      </c>
      <c r="B43" s="2" t="s">
        <v>12</v>
      </c>
      <c r="C43" s="2" t="s">
        <v>10</v>
      </c>
      <c r="D43" s="3" t="n">
        <v>300</v>
      </c>
      <c r="E43" s="4" t="n">
        <v>3.74</v>
      </c>
      <c r="F43" s="4" t="n">
        <v>9</v>
      </c>
      <c r="G43" s="3" t="n">
        <v>66</v>
      </c>
    </row>
    <row r="44" customFormat="false" ht="15" hidden="false" customHeight="false" outlineLevel="0" collapsed="false">
      <c r="A44" s="2" t="s">
        <v>19</v>
      </c>
      <c r="B44" s="2" t="s">
        <v>8</v>
      </c>
      <c r="C44" s="2" t="s">
        <v>9</v>
      </c>
      <c r="D44" s="3" t="n">
        <v>225</v>
      </c>
      <c r="E44" s="4" t="n">
        <v>6.34</v>
      </c>
      <c r="F44" s="4" t="n">
        <v>9</v>
      </c>
      <c r="G44" s="3" t="n">
        <v>22</v>
      </c>
    </row>
    <row r="45" customFormat="false" ht="15" hidden="false" customHeight="false" outlineLevel="0" collapsed="false">
      <c r="A45" s="2" t="s">
        <v>19</v>
      </c>
      <c r="B45" s="2" t="s">
        <v>8</v>
      </c>
      <c r="C45" s="2" t="s">
        <v>10</v>
      </c>
      <c r="D45" s="3" t="n">
        <v>225</v>
      </c>
      <c r="E45" s="4" t="n">
        <v>6.34</v>
      </c>
      <c r="F45" s="4" t="n">
        <v>9</v>
      </c>
      <c r="G45" s="3" t="n">
        <v>22</v>
      </c>
    </row>
    <row r="46" customFormat="false" ht="15" hidden="false" customHeight="false" outlineLevel="0" collapsed="false">
      <c r="A46" s="2" t="s">
        <v>19</v>
      </c>
      <c r="B46" s="2" t="s">
        <v>11</v>
      </c>
      <c r="C46" s="2" t="s">
        <v>9</v>
      </c>
      <c r="D46" s="3" t="n">
        <v>405</v>
      </c>
      <c r="E46" s="4" t="n">
        <v>6.34</v>
      </c>
      <c r="F46" s="4" t="n">
        <v>9</v>
      </c>
      <c r="G46" s="3" t="n">
        <v>40</v>
      </c>
    </row>
    <row r="47" customFormat="false" ht="15" hidden="false" customHeight="false" outlineLevel="0" collapsed="false">
      <c r="A47" s="2" t="s">
        <v>19</v>
      </c>
      <c r="B47" s="2" t="s">
        <v>11</v>
      </c>
      <c r="C47" s="2" t="s">
        <v>10</v>
      </c>
      <c r="D47" s="3" t="n">
        <v>405</v>
      </c>
      <c r="E47" s="4" t="n">
        <v>6.34</v>
      </c>
      <c r="F47" s="4" t="n">
        <v>9</v>
      </c>
      <c r="G47" s="3" t="n">
        <v>40</v>
      </c>
    </row>
    <row r="48" customFormat="false" ht="15" hidden="false" customHeight="false" outlineLevel="0" collapsed="false">
      <c r="A48" s="2" t="s">
        <v>19</v>
      </c>
      <c r="B48" s="2" t="s">
        <v>12</v>
      </c>
      <c r="C48" s="2" t="s">
        <v>9</v>
      </c>
      <c r="D48" s="3" t="n">
        <v>270</v>
      </c>
      <c r="E48" s="4" t="n">
        <v>6.34</v>
      </c>
      <c r="F48" s="4" t="n">
        <v>9</v>
      </c>
      <c r="G48" s="3" t="n">
        <v>27</v>
      </c>
    </row>
    <row r="49" customFormat="false" ht="15" hidden="false" customHeight="false" outlineLevel="0" collapsed="false">
      <c r="A49" s="2" t="s">
        <v>19</v>
      </c>
      <c r="B49" s="2" t="s">
        <v>12</v>
      </c>
      <c r="C49" s="2" t="s">
        <v>10</v>
      </c>
      <c r="D49" s="3" t="n">
        <v>270</v>
      </c>
      <c r="E49" s="4" t="n">
        <v>6.34</v>
      </c>
      <c r="F49" s="4" t="n">
        <v>9</v>
      </c>
      <c r="G49" s="3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customFormat="false" ht="15" hidden="false" customHeight="false" outlineLevel="0" collapsed="false">
      <c r="A2" s="2" t="s">
        <v>7</v>
      </c>
      <c r="B2" s="2" t="s">
        <v>24</v>
      </c>
      <c r="C2" s="3" t="n">
        <v>620</v>
      </c>
      <c r="D2" s="3" t="n">
        <v>3.5</v>
      </c>
      <c r="E2" s="2" t="str">
        <f aca="false">IF(D2&lt;4,"At Risk","OK")</f>
        <v>At Risk</v>
      </c>
    </row>
    <row r="3" customFormat="false" ht="15" hidden="false" customHeight="false" outlineLevel="0" collapsed="false">
      <c r="A3" s="2" t="s">
        <v>13</v>
      </c>
      <c r="B3" s="2" t="s">
        <v>25</v>
      </c>
      <c r="C3" s="3" t="n">
        <v>580</v>
      </c>
      <c r="D3" s="3" t="n">
        <v>6</v>
      </c>
      <c r="E3" s="2" t="str">
        <f aca="false">IF(D3&lt;4,"At Risk","OK")</f>
        <v>OK</v>
      </c>
    </row>
    <row r="4" customFormat="false" ht="15" hidden="false" customHeight="false" outlineLevel="0" collapsed="false">
      <c r="A4" s="2" t="s">
        <v>14</v>
      </c>
      <c r="B4" s="2" t="s">
        <v>26</v>
      </c>
      <c r="C4" s="3" t="n">
        <v>540</v>
      </c>
      <c r="D4" s="3" t="n">
        <v>2.8</v>
      </c>
      <c r="E4" s="2" t="str">
        <f aca="false">IF(D4&lt;4,"At Risk","OK")</f>
        <v>At Risk</v>
      </c>
    </row>
    <row r="5" customFormat="false" ht="15" hidden="false" customHeight="false" outlineLevel="0" collapsed="false">
      <c r="A5" s="2" t="s">
        <v>15</v>
      </c>
      <c r="B5" s="2" t="s">
        <v>25</v>
      </c>
      <c r="C5" s="3" t="n">
        <v>510</v>
      </c>
      <c r="D5" s="3" t="n">
        <v>5</v>
      </c>
      <c r="E5" s="2" t="str">
        <f aca="false">IF(D5&lt;4,"At Risk","OK")</f>
        <v>OK</v>
      </c>
    </row>
    <row r="6" customFormat="false" ht="15" hidden="false" customHeight="false" outlineLevel="0" collapsed="false">
      <c r="A6" s="2" t="s">
        <v>16</v>
      </c>
      <c r="B6" s="2" t="s">
        <v>27</v>
      </c>
      <c r="C6" s="3" t="n">
        <v>350</v>
      </c>
      <c r="D6" s="3" t="n">
        <v>4.5</v>
      </c>
      <c r="E6" s="2" t="str">
        <f aca="false">IF(D6&lt;4,"At Risk","OK")</f>
        <v>OK</v>
      </c>
    </row>
    <row r="7" customFormat="false" ht="15" hidden="false" customHeight="false" outlineLevel="0" collapsed="false">
      <c r="A7" s="2" t="s">
        <v>17</v>
      </c>
      <c r="B7" s="2" t="s">
        <v>25</v>
      </c>
      <c r="C7" s="3" t="n">
        <v>300</v>
      </c>
      <c r="D7" s="3" t="n">
        <v>7</v>
      </c>
      <c r="E7" s="2" t="str">
        <f aca="false">IF(D7&lt;4,"At Risk","OK")</f>
        <v>OK</v>
      </c>
    </row>
    <row r="8" customFormat="false" ht="15" hidden="false" customHeight="false" outlineLevel="0" collapsed="false">
      <c r="A8" s="2" t="s">
        <v>18</v>
      </c>
      <c r="B8" s="2" t="s">
        <v>25</v>
      </c>
      <c r="C8" s="3" t="n">
        <v>250</v>
      </c>
      <c r="D8" s="3" t="n">
        <v>8</v>
      </c>
      <c r="E8" s="2" t="str">
        <f aca="false">IF(D8&lt;4,"At Risk","OK")</f>
        <v>OK</v>
      </c>
    </row>
    <row r="9" customFormat="false" ht="15" hidden="false" customHeight="false" outlineLevel="0" collapsed="false">
      <c r="A9" s="2" t="s">
        <v>19</v>
      </c>
      <c r="B9" s="2" t="s">
        <v>24</v>
      </c>
      <c r="C9" s="3" t="n">
        <v>150</v>
      </c>
      <c r="D9" s="3" t="n">
        <v>3</v>
      </c>
      <c r="E9" s="2" t="str">
        <f aca="false">IF(D9&lt;4,"At Risk","OK")</f>
        <v>At Risk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6" min="4" style="0" width="20"/>
  </cols>
  <sheetData>
    <row r="1" customFormat="false" ht="17.35" hidden="false" customHeight="false" outlineLevel="0" collapsed="false">
      <c r="A1" s="5" t="s">
        <v>28</v>
      </c>
    </row>
    <row r="2" customFormat="false" ht="15" hidden="false" customHeight="false" outlineLevel="0" collapsed="false">
      <c r="A2" s="6" t="s">
        <v>29</v>
      </c>
    </row>
    <row r="4" customFormat="false" ht="15" hidden="false" customHeight="false" outlineLevel="0" collapsed="false">
      <c r="A4" s="7" t="s">
        <v>30</v>
      </c>
    </row>
    <row r="5" customFormat="false" ht="15" hidden="false" customHeight="false" outlineLevel="0" collapsed="false">
      <c r="A5" s="8" t="s">
        <v>31</v>
      </c>
      <c r="B5" s="9" t="n">
        <v>9</v>
      </c>
      <c r="C5" s="10" t="s">
        <v>32</v>
      </c>
    </row>
    <row r="6" customFormat="false" ht="15" hidden="false" customHeight="false" outlineLevel="0" collapsed="false">
      <c r="A6" s="8" t="s">
        <v>33</v>
      </c>
      <c r="B6" s="9" t="n">
        <v>19.99</v>
      </c>
      <c r="C6" s="10"/>
    </row>
    <row r="7" customFormat="false" ht="15" hidden="false" customHeight="false" outlineLevel="0" collapsed="false">
      <c r="A7" s="8" t="s">
        <v>34</v>
      </c>
      <c r="B7" s="9" t="n">
        <v>1.74</v>
      </c>
      <c r="C7" s="10" t="s">
        <v>35</v>
      </c>
    </row>
    <row r="8" customFormat="false" ht="15" hidden="false" customHeight="false" outlineLevel="0" collapsed="false">
      <c r="A8" s="8" t="s">
        <v>36</v>
      </c>
      <c r="B8" s="11" t="n">
        <v>0.1</v>
      </c>
      <c r="C8" s="10"/>
    </row>
    <row r="11" customFormat="false" ht="15" hidden="false" customHeight="false" outlineLevel="0" collapsed="false">
      <c r="A11" s="1" t="s">
        <v>37</v>
      </c>
      <c r="B11" s="1" t="s">
        <v>38</v>
      </c>
      <c r="C11" s="1" t="s">
        <v>5</v>
      </c>
      <c r="D11" s="1" t="s">
        <v>39</v>
      </c>
      <c r="E11" s="1" t="s">
        <v>40</v>
      </c>
      <c r="F11" s="1" t="s">
        <v>41</v>
      </c>
    </row>
    <row r="12" customFormat="false" ht="15" hidden="false" customHeight="false" outlineLevel="0" collapsed="false">
      <c r="A12" s="2" t="s">
        <v>42</v>
      </c>
      <c r="B12" s="3" t="n">
        <v>2500</v>
      </c>
      <c r="C12" s="12" t="n">
        <f aca="false">$B$5</f>
        <v>9</v>
      </c>
      <c r="D12" s="13" t="n">
        <f aca="false">B12*C12</f>
        <v>22500</v>
      </c>
      <c r="E12" s="2" t="n">
        <f aca="false">ROUND(B12*$B$8,0)</f>
        <v>250</v>
      </c>
      <c r="F12" s="2" t="n">
        <f aca="false">B12+E12</f>
        <v>2750</v>
      </c>
    </row>
    <row r="13" customFormat="false" ht="15" hidden="false" customHeight="false" outlineLevel="0" collapsed="false">
      <c r="A13" s="2" t="s">
        <v>43</v>
      </c>
      <c r="B13" s="3" t="n">
        <v>4000</v>
      </c>
      <c r="C13" s="12" t="n">
        <f aca="false">$B$5</f>
        <v>9</v>
      </c>
      <c r="D13" s="13" t="n">
        <f aca="false">B13*C13</f>
        <v>36000</v>
      </c>
      <c r="E13" s="2" t="n">
        <f aca="false">ROUND(B13*$B$8,0)</f>
        <v>400</v>
      </c>
      <c r="F13" s="2" t="n">
        <f aca="false">B13+E13</f>
        <v>4400</v>
      </c>
    </row>
    <row r="14" customFormat="false" ht="15" hidden="false" customHeight="false" outlineLevel="0" collapsed="false">
      <c r="A14" s="2" t="s">
        <v>44</v>
      </c>
      <c r="B14" s="3" t="n">
        <v>6500</v>
      </c>
      <c r="C14" s="12" t="n">
        <f aca="false">$B$5</f>
        <v>9</v>
      </c>
      <c r="D14" s="13" t="n">
        <f aca="false">B14*C14</f>
        <v>58500</v>
      </c>
      <c r="E14" s="2" t="n">
        <f aca="false">ROUND(B14*$B$8,0)</f>
        <v>650</v>
      </c>
      <c r="F14" s="2" t="n">
        <f aca="false">B14+E14</f>
        <v>7150</v>
      </c>
    </row>
    <row r="15" customFormat="false" ht="15" hidden="false" customHeight="false" outlineLevel="0" collapsed="false">
      <c r="A15" s="2" t="s">
        <v>45</v>
      </c>
      <c r="B15" s="3" t="n">
        <v>9000</v>
      </c>
      <c r="C15" s="12" t="n">
        <f aca="false">$B$5</f>
        <v>9</v>
      </c>
      <c r="D15" s="13" t="n">
        <f aca="false">B15*C15</f>
        <v>81000</v>
      </c>
      <c r="E15" s="2" t="n">
        <f aca="false">ROUND(B15*$B$8,0)</f>
        <v>900</v>
      </c>
      <c r="F15" s="2" t="n">
        <f aca="false">B15+E15</f>
        <v>9900</v>
      </c>
    </row>
    <row r="16" customFormat="false" ht="15" hidden="false" customHeight="false" outlineLevel="0" collapsed="false">
      <c r="A16" s="14" t="s">
        <v>46</v>
      </c>
      <c r="B16" s="14" t="n">
        <f aca="false">SUM(B12:B15)</f>
        <v>22000</v>
      </c>
      <c r="C16" s="15"/>
      <c r="D16" s="16" t="n">
        <f aca="false">SUM(D12:D15)</f>
        <v>198000</v>
      </c>
      <c r="E16" s="15"/>
      <c r="F16" s="14" t="n">
        <f aca="false">SUM(F12:F15)</f>
        <v>24200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47</v>
      </c>
    </row>
    <row r="2" customFormat="false" ht="15" hidden="false" customHeight="false" outlineLevel="0" collapsed="false">
      <c r="A2" s="6" t="s">
        <v>48</v>
      </c>
    </row>
    <row r="4" customFormat="false" ht="15" hidden="false" customHeight="false" outlineLevel="0" collapsed="false">
      <c r="A4" s="1" t="s">
        <v>49</v>
      </c>
      <c r="B4" s="1" t="s">
        <v>50</v>
      </c>
    </row>
    <row r="5" customFormat="false" ht="15" hidden="false" customHeight="false" outlineLevel="0" collapsed="false">
      <c r="A5" s="2" t="s">
        <v>51</v>
      </c>
      <c r="B5" s="17" t="n">
        <f aca="false">SUM(USForecast[Units Forecast])</f>
        <v>22000</v>
      </c>
    </row>
    <row r="6" customFormat="false" ht="15" hidden="false" customHeight="false" outlineLevel="0" collapsed="false">
      <c r="A6" s="2" t="s">
        <v>52</v>
      </c>
      <c r="B6" s="18" t="n">
        <f aca="false">SUMPRODUCT(USForecast[Units Forecast],USForecast[Unit Price ($)])</f>
        <v>198000</v>
      </c>
    </row>
    <row r="7" customFormat="false" ht="15" hidden="false" customHeight="false" outlineLevel="0" collapsed="false">
      <c r="A7" s="2" t="s">
        <v>53</v>
      </c>
      <c r="B7" s="19" t="n">
        <f aca="false">AVERAGE(USForecast[Unit Price ($)])</f>
        <v>9</v>
      </c>
    </row>
    <row r="8" customFormat="false" ht="15" hidden="false" customHeight="false" outlineLevel="0" collapsed="false">
      <c r="A8" s="2" t="s">
        <v>33</v>
      </c>
      <c r="B8" s="19" t="n">
        <f aca="false">'Quarterly Forecast'!B6</f>
        <v>19.99</v>
      </c>
    </row>
    <row r="9" customFormat="false" ht="15" hidden="false" customHeight="false" outlineLevel="0" collapsed="false">
      <c r="A9" s="2" t="s">
        <v>54</v>
      </c>
      <c r="B9" s="20" t="n">
        <f aca="false">COUNTIF(SalesSummary[Stock Cover (Weeks)],"&lt;4")</f>
        <v>3</v>
      </c>
    </row>
    <row r="10" customFormat="false" ht="15" hidden="false" customHeight="false" outlineLevel="0" collapsed="false">
      <c r="A10" s="2" t="s">
        <v>55</v>
      </c>
      <c r="B10" s="17" t="n">
        <f aca="false">SUM(SalesSummary[Units Sold (This Month)])</f>
        <v>3300</v>
      </c>
    </row>
    <row r="11" customFormat="false" ht="15" hidden="false" customHeight="false" outlineLevel="0" collapsed="false">
      <c r="A11" s="2" t="s">
        <v>56</v>
      </c>
      <c r="B11" s="17" t="n">
        <f aca="false">'Quarterly Forecast'!B12</f>
        <v>2500</v>
      </c>
    </row>
    <row r="12" customFormat="false" ht="15" hidden="false" customHeight="false" outlineLevel="0" collapsed="false">
      <c r="A12" s="2" t="s">
        <v>57</v>
      </c>
      <c r="B12" s="18" t="n">
        <f aca="false">'Quarterly Forecast'!D12</f>
        <v>22500</v>
      </c>
    </row>
    <row r="14" customFormat="false" ht="15" hidden="false" customHeight="false" outlineLevel="0" collapsed="false">
      <c r="A14" s="1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2026-09-22T12:47:32Z</dcterms:created>
  <dc:creator>openpyxl</dc:creator>
  <dc:description/>
  <dc:language>en-US</dc:language>
  <cp:lastModifiedBy/>
  <dcterms:modified xsi:type="dcterms:W3CDTF">2026-09-22T12:47:32Z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